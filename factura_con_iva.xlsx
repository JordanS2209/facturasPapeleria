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a" sheetId="1" state="visible" r:id="rId1"/>
    <sheet name="Comparació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2" customWidth="1" min="3" max="3"/>
    <col width="22" customWidth="1" min="4" max="4"/>
    <col width="20" customWidth="1" min="5" max="5"/>
    <col width="14" customWidth="1" min="6" max="6"/>
    <col width="16" customWidth="1" min="7" max="7"/>
    <col width="70" customWidth="1" min="8" max="8"/>
  </cols>
  <sheetData>
    <row r="1">
      <c r="A1" s="1" t="inlineStr">
        <is>
          <t>Cantidad</t>
        </is>
      </c>
      <c r="B1" s="1" t="inlineStr">
        <is>
          <t>Descripción del producto</t>
        </is>
      </c>
      <c r="C1" s="1" t="inlineStr">
        <is>
          <t>Precio unitario sin IVA</t>
        </is>
      </c>
      <c r="D1" s="1" t="inlineStr">
        <is>
          <t>Precio unitario con IVA</t>
        </is>
      </c>
      <c r="E1" s="1" t="inlineStr">
        <is>
          <t>Valor total sin IVA</t>
        </is>
      </c>
      <c r="F1" s="1" t="inlineStr">
        <is>
          <t>IVA del 15%</t>
        </is>
      </c>
      <c r="G1" s="1" t="inlineStr">
        <is>
          <t>Total con IVA</t>
        </is>
      </c>
      <c r="H1" s="1" t="inlineStr">
        <is>
          <t>Observaciones</t>
        </is>
      </c>
    </row>
    <row r="2">
      <c r="A2" t="n">
        <v>30</v>
      </c>
      <c r="B2" t="inlineStr">
        <is>
          <t>C.A. Embalaje Strong Cristal 48x40</t>
        </is>
      </c>
      <c r="C2" t="n">
        <v>0.32</v>
      </c>
      <c r="D2" s="2">
        <f>ROUND(C2*1.15,2)</f>
        <v/>
      </c>
      <c r="E2" s="2" t="n">
        <v>9.66</v>
      </c>
      <c r="F2" s="2">
        <f>ROUND(E2*0.15,2)</f>
        <v/>
      </c>
      <c r="G2" s="2">
        <f>ROUND(E2+F2,2)</f>
        <v/>
      </c>
      <c r="H2" t="inlineStr"/>
    </row>
    <row r="3">
      <c r="A3" t="n">
        <v>25</v>
      </c>
      <c r="B3" t="inlineStr">
        <is>
          <t>Membrete Lamina Creativ X15</t>
        </is>
      </c>
      <c r="C3" t="n">
        <v>0.08</v>
      </c>
      <c r="D3" s="2">
        <f>ROUND(C3*1.15,2)</f>
        <v/>
      </c>
      <c r="E3" s="2" t="n">
        <v>2.07</v>
      </c>
      <c r="F3" s="2">
        <f>ROUND(E3*0.15,2)</f>
        <v/>
      </c>
      <c r="G3" s="2">
        <f>ROUND(E3+F3,2)</f>
        <v/>
      </c>
      <c r="H3" t="inlineStr">
        <is>
          <t>REVISAR: descripción/transcripción poco legible en foto.</t>
        </is>
      </c>
    </row>
    <row r="4">
      <c r="A4" t="n">
        <v>10</v>
      </c>
      <c r="B4" t="inlineStr">
        <is>
          <t>Clip Cromado Lancer 50mm X50</t>
        </is>
      </c>
      <c r="C4" t="n">
        <v>0.24</v>
      </c>
      <c r="D4" s="2">
        <f>ROUND(C4*1.15,2)</f>
        <v/>
      </c>
      <c r="E4" s="2" t="n">
        <v>2.47</v>
      </c>
      <c r="F4" s="2">
        <f>ROUND(E4*0.15,2)</f>
        <v/>
      </c>
      <c r="G4" s="2">
        <f>ROUND(E4+F4,2)</f>
        <v/>
      </c>
      <c r="H4" t="inlineStr"/>
    </row>
    <row r="5">
      <c r="D5" s="2" t="n"/>
      <c r="E5" s="2" t="n"/>
      <c r="F5" s="2" t="n"/>
      <c r="G5" s="2" t="n"/>
    </row>
    <row r="6">
      <c r="D6" s="2" t="inlineStr">
        <is>
          <t>Subtotal</t>
        </is>
      </c>
      <c r="E6" s="2">
        <f>ROUND(SUM(E2:E4),2)</f>
        <v/>
      </c>
      <c r="F6" s="2" t="n"/>
      <c r="G6" s="2" t="n"/>
    </row>
    <row r="7">
      <c r="D7" s="2" t="inlineStr">
        <is>
          <t>IVA total</t>
        </is>
      </c>
      <c r="E7" s="2" t="n"/>
      <c r="F7" s="2">
        <f>ROUND(SUM(F2:F4),2)</f>
        <v/>
      </c>
      <c r="G7" s="2" t="n"/>
    </row>
    <row r="8">
      <c r="D8" s="2" t="inlineStr">
        <is>
          <t>Total general</t>
        </is>
      </c>
      <c r="E8" s="2" t="n"/>
      <c r="F8" s="2" t="n"/>
      <c r="G8" s="2">
        <f>ROUND(SUM(G2:G4),2)</f>
        <v/>
      </c>
    </row>
    <row r="9">
      <c r="D9" s="2" t="n"/>
      <c r="E9" s="2" t="n"/>
      <c r="F9" s="2" t="n"/>
      <c r="G9" s="2" t="n"/>
    </row>
    <row r="10">
      <c r="D10" s="2" t="inlineStr">
        <is>
          <t>Totales impresos (factura)</t>
        </is>
      </c>
      <c r="E10" s="2" t="n">
        <v>287.39</v>
      </c>
      <c r="F10" s="2" t="n">
        <v>43.11</v>
      </c>
      <c r="G10" s="2" t="n">
        <v>330.5</v>
      </c>
    </row>
    <row r="11">
      <c r="D11" s="2" t="inlineStr">
        <is>
          <t>Diferencia (calculado - impreso)</t>
        </is>
      </c>
      <c r="E11" s="2">
        <f>ROUND(E6-E10,2)</f>
        <v/>
      </c>
      <c r="F11" s="2">
        <f>ROUND(F7-F10,2)</f>
        <v/>
      </c>
      <c r="G11" s="2">
        <f>ROUND(G8-G10,2)</f>
        <v/>
      </c>
      <c r="H11" t="inlineStr">
        <is>
          <t>REVISAR: el total calculado difiere del impreso; faltan líneas no legibles/visibles en la transcripción actual.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20" customWidth="1" min="3" max="3"/>
    <col width="12" customWidth="1" min="4" max="4"/>
    <col width="14" customWidth="1" min="5" max="5"/>
    <col width="65" customWidth="1" min="6" max="6"/>
  </cols>
  <sheetData>
    <row r="1">
      <c r="A1" s="1" t="inlineStr">
        <is>
          <t>Producto solicitado</t>
        </is>
      </c>
      <c r="B1" s="1" t="inlineStr">
        <is>
          <t>Cantidad solicitada</t>
        </is>
      </c>
      <c r="C1" s="1" t="inlineStr">
        <is>
          <t>Cantidad recibida</t>
        </is>
      </c>
      <c r="D1" s="1" t="inlineStr">
        <is>
          <t>Diferencia</t>
        </is>
      </c>
      <c r="E1" s="1" t="inlineStr">
        <is>
          <t>Estado</t>
        </is>
      </c>
      <c r="F1" s="1" t="inlineStr">
        <is>
          <t>Observaciones</t>
        </is>
      </c>
    </row>
    <row r="2">
      <c r="A2" t="inlineStr">
        <is>
          <t>(Pendiente de completar)</t>
        </is>
      </c>
      <c r="F2" t="inlineStr">
        <is>
          <t>Se requiere la lista/foto original del pedido para calcular faltantes.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2026-09-17T15:03:01Z</dcterms:created>
  <dcterms:modified xsi:type="dcterms:W3CDTF">2026-09-17T15:03:01Z</dcterms:modified>
</cp:coreProperties>
</file>