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" sheetId="1" state="visible" r:id="rId1"/>
    <sheet name="Compar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4" customWidth="1" min="3" max="3"/>
    <col width="24" customWidth="1" min="4" max="4"/>
    <col width="20" customWidth="1" min="5" max="5"/>
    <col width="14" customWidth="1" min="6" max="6"/>
    <col width="16" customWidth="1" min="7" max="7"/>
    <col width="64" customWidth="1" min="8" max="8"/>
    <col width="20" customWidth="1" min="9" max="9"/>
    <col width="20" customWidth="1" min="10" max="10"/>
    <col width="12" customWidth="1" min="11" max="11"/>
    <col width="14" customWidth="1" min="12" max="12"/>
  </cols>
  <sheetData>
    <row r="1">
      <c r="A1" t="inlineStr">
        <is>
          <t>Cantidad</t>
        </is>
      </c>
      <c r="B1" t="inlineStr">
        <is>
          <t>Descripción del producto</t>
        </is>
      </c>
      <c r="C1" t="inlineStr">
        <is>
          <t>Precio unitario sin IVA</t>
        </is>
      </c>
      <c r="D1" t="inlineStr">
        <is>
          <t>Precio unitario con IVA</t>
        </is>
      </c>
      <c r="E1" t="inlineStr">
        <is>
          <t>Valor total sin IVA</t>
        </is>
      </c>
      <c r="F1" t="inlineStr">
        <is>
          <t>IVA del 15%</t>
        </is>
      </c>
      <c r="G1" t="inlineStr">
        <is>
          <t>Total con IVA</t>
        </is>
      </c>
      <c r="H1" t="inlineStr">
        <is>
          <t>Observaciones</t>
        </is>
      </c>
      <c r="J1" t="inlineStr">
        <is>
          <t>Totales impresos en factura</t>
        </is>
      </c>
    </row>
    <row r="2">
      <c r="A2" t="n">
        <v>30</v>
      </c>
      <c r="B2" t="inlineStr">
        <is>
          <t>C.A. Embalaje Strong Cristal 48x40</t>
        </is>
      </c>
      <c r="C2" s="1" t="n">
        <v>0.32</v>
      </c>
      <c r="D2" s="1">
        <f>ROUND(C2*(1+0.15),2)</f>
        <v/>
      </c>
      <c r="E2" s="1" t="n">
        <v>9.66</v>
      </c>
      <c r="F2" s="1">
        <f>ROUND(E2*0.15,2)</f>
        <v/>
      </c>
      <c r="G2" s="1">
        <f>ROUND(E2+F2,2)</f>
        <v/>
      </c>
      <c r="H2" t="inlineStr">
        <is>
          <t>REVISAR: valor total no coincide exactamente con cantidad x precio unitario.</t>
        </is>
      </c>
      <c r="I2" t="inlineStr">
        <is>
          <t>Subtotal impreso</t>
        </is>
      </c>
      <c r="J2" s="1" t="n">
        <v>287.39</v>
      </c>
      <c r="K2" t="inlineStr">
        <is>
          <t>Diferencia</t>
        </is>
      </c>
      <c r="L2" s="1">
        <f>ROUND(E5-J2,2)</f>
        <v/>
      </c>
    </row>
    <row r="3">
      <c r="A3" t="n">
        <v>25</v>
      </c>
      <c r="B3" t="inlineStr">
        <is>
          <t>Membrete Lamina Creativ X15</t>
        </is>
      </c>
      <c r="C3" s="1" t="n">
        <v>0.08</v>
      </c>
      <c r="D3" s="1">
        <f>ROUND(C3*(1+0.15),2)</f>
        <v/>
      </c>
      <c r="E3" s="1" t="n">
        <v>2.07</v>
      </c>
      <c r="F3" s="1">
        <f>ROUND(E3*0.15,2)</f>
        <v/>
      </c>
      <c r="G3" s="1">
        <f>ROUND(E3+F3,2)</f>
        <v/>
      </c>
      <c r="H3" t="inlineStr">
        <is>
          <t>REVISAR: verificar ortografía/lectura exacta del producto en la foto.</t>
        </is>
      </c>
      <c r="I3" t="inlineStr">
        <is>
          <t>IVA impreso</t>
        </is>
      </c>
      <c r="J3" s="1" t="n">
        <v>43.11</v>
      </c>
      <c r="L3" s="1">
        <f>ROUND(E6-J3,2)</f>
        <v/>
      </c>
    </row>
    <row r="4">
      <c r="A4" t="n">
        <v>10</v>
      </c>
      <c r="B4" t="inlineStr">
        <is>
          <t>Clip Cromado Lancer 50mm X50</t>
        </is>
      </c>
      <c r="C4" s="1" t="n">
        <v>0.24</v>
      </c>
      <c r="D4" s="1">
        <f>ROUND(C4*(1+0.15),2)</f>
        <v/>
      </c>
      <c r="E4" s="1" t="n">
        <v>2.47</v>
      </c>
      <c r="F4" s="1">
        <f>ROUND(E4*0.15,2)</f>
        <v/>
      </c>
      <c r="G4" s="1">
        <f>ROUND(E4+F4,2)</f>
        <v/>
      </c>
      <c r="H4" t="inlineStr"/>
      <c r="I4" t="inlineStr">
        <is>
          <t>Total impreso</t>
        </is>
      </c>
      <c r="J4" s="1" t="n">
        <v>330.5</v>
      </c>
      <c r="L4" s="1">
        <f>ROUND(E7-J4,2)</f>
        <v/>
      </c>
    </row>
    <row r="5">
      <c r="C5" s="1" t="n"/>
      <c r="D5" s="1" t="inlineStr">
        <is>
          <t>Subtotal</t>
        </is>
      </c>
      <c r="E5" s="1">
        <f>ROUND(SUM(E2:E4),2)</f>
        <v/>
      </c>
      <c r="F5" s="1" t="n"/>
      <c r="G5" s="1" t="n"/>
      <c r="J5" s="1" t="n"/>
      <c r="L5" s="1" t="n"/>
    </row>
    <row r="6">
      <c r="C6" s="1" t="n"/>
      <c r="D6" s="1" t="inlineStr">
        <is>
          <t>IVA total</t>
        </is>
      </c>
      <c r="E6" s="1">
        <f>ROUND(SUM(F2:F4),2)</f>
        <v/>
      </c>
      <c r="F6" s="1" t="n"/>
      <c r="G6" s="1" t="n"/>
      <c r="J6" s="1" t="n"/>
      <c r="L6" s="1" t="n"/>
    </row>
    <row r="7">
      <c r="C7" s="1" t="n"/>
      <c r="D7" s="1" t="inlineStr">
        <is>
          <t>Total general</t>
        </is>
      </c>
      <c r="E7" s="1">
        <f>ROUND(SUM(G2:G4),2)</f>
        <v/>
      </c>
      <c r="F7" s="1" t="n"/>
      <c r="G7" s="1" t="n"/>
      <c r="J7" s="1" t="n"/>
      <c r="L7" s="1" t="n"/>
    </row>
    <row r="9">
      <c r="A9" t="inlineStr">
        <is>
          <t>REVISAR: los totales calculados no coinciden con los impresos; faltan líneas por transcribir o validar en las fotos.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4" customWidth="1" min="4" max="4"/>
    <col width="14" customWidth="1" min="5" max="5"/>
    <col width="60" customWidth="1" min="6" max="6"/>
  </cols>
  <sheetData>
    <row r="1">
      <c r="A1" t="inlineStr">
        <is>
          <t>Producto solicitado</t>
        </is>
      </c>
      <c r="B1" t="inlineStr">
        <is>
          <t>Cantidad solicitada</t>
        </is>
      </c>
      <c r="C1" t="inlineStr">
        <is>
          <t>Cantidad recibida</t>
        </is>
      </c>
      <c r="D1" t="inlineStr">
        <is>
          <t>Diferencia</t>
        </is>
      </c>
      <c r="E1" t="inlineStr">
        <is>
          <t>Estado</t>
        </is>
      </c>
      <c r="F1" t="inlineStr">
        <is>
          <t>Observaciones</t>
        </is>
      </c>
    </row>
    <row r="2">
      <c r="A2" t="inlineStr"/>
      <c r="B2" t="inlineStr"/>
      <c r="C2" t="inlineStr"/>
      <c r="D2" t="inlineStr"/>
      <c r="E2" t="inlineStr"/>
      <c r="F2" t="inlineStr">
        <is>
          <t>Se necesita la lista del pedido original para detectar faltantes.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2026-09-17T15:03:52Z</dcterms:created>
  <dcterms:modified xsi:type="dcterms:W3CDTF">2026-09-17T15:03:52Z</dcterms:modified>
</cp:coreProperties>
</file>